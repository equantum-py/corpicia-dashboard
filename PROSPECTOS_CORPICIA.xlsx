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aguilera\Downloads\"/>
    </mc:Choice>
  </mc:AlternateContent>
  <xr:revisionPtr revIDLastSave="0" documentId="8_{DA54F88F-42C7-47E3-B682-A704CED0E9FC}" xr6:coauthVersionLast="47" xr6:coauthVersionMax="47" xr10:uidLastSave="{00000000-0000-0000-0000-000000000000}"/>
  <bookViews>
    <workbookView xWindow="-19845" yWindow="2610" windowWidth="17280" windowHeight="8880" xr2:uid="{00000000-000D-0000-FFFF-FFFF00000000}"/>
  </bookViews>
  <sheets>
    <sheet name="Prospectos" sheetId="1" r:id="rId1"/>
    <sheet name="Resumen" sheetId="2" r:id="rId2"/>
  </sheets>
  <calcPr calcId="181029"/>
</workbook>
</file>

<file path=xl/calcChain.xml><?xml version="1.0" encoding="utf-8"?>
<calcChain xmlns="http://schemas.openxmlformats.org/spreadsheetml/2006/main">
  <c r="J33" i="1" l="1"/>
</calcChain>
</file>

<file path=xl/sharedStrings.xml><?xml version="1.0" encoding="utf-8"?>
<sst xmlns="http://schemas.openxmlformats.org/spreadsheetml/2006/main" count="252" uniqueCount="186">
  <si>
    <t>N°</t>
  </si>
  <si>
    <t>Fecha</t>
  </si>
  <si>
    <t>Prospecto</t>
  </si>
  <si>
    <t>Celular</t>
  </si>
  <si>
    <t>Servicio Solicitado</t>
  </si>
  <si>
    <t>Lugar</t>
  </si>
  <si>
    <t>Avance</t>
  </si>
  <si>
    <t>Estado</t>
  </si>
  <si>
    <t>Monto Presupuestado</t>
  </si>
  <si>
    <t>Monto Cerrado</t>
  </si>
  <si>
    <t>Observaciones</t>
  </si>
  <si>
    <t>16-feb</t>
  </si>
  <si>
    <t>Marcelo Pedrozo</t>
  </si>
  <si>
    <t>Pasto y sistema de regadío</t>
  </si>
  <si>
    <t>Diálogo, está en obras</t>
  </si>
  <si>
    <t>Pendiente</t>
  </si>
  <si>
    <t>Hacer seguimiento hasta que termine la obra</t>
  </si>
  <si>
    <t>17-feb</t>
  </si>
  <si>
    <t>Dahiana Rojas</t>
  </si>
  <si>
    <t>0976 960 717</t>
  </si>
  <si>
    <t>Fumigación</t>
  </si>
  <si>
    <t>Asunción</t>
  </si>
  <si>
    <t>Diálogo pero poco</t>
  </si>
  <si>
    <t>Perdido</t>
  </si>
  <si>
    <t>Por falta de seguimiento, no era negocio</t>
  </si>
  <si>
    <t>25-feb</t>
  </si>
  <si>
    <t>Odef</t>
  </si>
  <si>
    <t>0976 506 339</t>
  </si>
  <si>
    <t>Empastado</t>
  </si>
  <si>
    <t>Relevamiento</t>
  </si>
  <si>
    <t>Por entregar tarde presupuesto</t>
  </si>
  <si>
    <t>26-feb</t>
  </si>
  <si>
    <t>Abg. Carlos Bogado</t>
  </si>
  <si>
    <t>0981 558 924</t>
  </si>
  <si>
    <t>Repuestos de Regadío</t>
  </si>
  <si>
    <t>San Bernardino</t>
  </si>
  <si>
    <t>Pidió relevamiento</t>
  </si>
  <si>
    <t>No paga relevamiento, no trata como empresa</t>
  </si>
  <si>
    <t>Gustavo Enriquez</t>
  </si>
  <si>
    <t>0972 234 782</t>
  </si>
  <si>
    <t>Pasto Esmeralda</t>
  </si>
  <si>
    <t>MRA</t>
  </si>
  <si>
    <t>Pedido</t>
  </si>
  <si>
    <t>Falta confirmación del cliente</t>
  </si>
  <si>
    <t>27-feb</t>
  </si>
  <si>
    <t>Jesus Servín</t>
  </si>
  <si>
    <t>0984 072 227</t>
  </si>
  <si>
    <t>Mantenimiento al sistema de riego</t>
  </si>
  <si>
    <t>Asunción, barrio jara</t>
  </si>
  <si>
    <t>NO quiere pagar relevamiento</t>
  </si>
  <si>
    <t>01-mar</t>
  </si>
  <si>
    <t>Alejandro Notario</t>
  </si>
  <si>
    <t>+34 613 14 47 66</t>
  </si>
  <si>
    <t>Pasto sintético</t>
  </si>
  <si>
    <t>Ya no respondió</t>
  </si>
  <si>
    <t>No se logró acuerdo, falta de proveedor</t>
  </si>
  <si>
    <t>04-mar</t>
  </si>
  <si>
    <t>Barcelo</t>
  </si>
  <si>
    <t>0987 133 172</t>
  </si>
  <si>
    <t>Central</t>
  </si>
  <si>
    <t>Terminó sin concretar</t>
  </si>
  <si>
    <t>12-mar</t>
  </si>
  <si>
    <t>Karen Vargas</t>
  </si>
  <si>
    <t>0983 657 943</t>
  </si>
  <si>
    <t>Pasto y jardín vertical</t>
  </si>
  <si>
    <t>Fernando de la Mora</t>
  </si>
  <si>
    <t>Presupuesto</t>
  </si>
  <si>
    <t>Quizás demoramos en pasarle presupuesto</t>
  </si>
  <si>
    <t>13-mar</t>
  </si>
  <si>
    <t>Raúl Ávila</t>
  </si>
  <si>
    <t>0981 291 800</t>
  </si>
  <si>
    <t>Sistema de regadío</t>
  </si>
  <si>
    <t>Atyra (San Vicente)</t>
  </si>
  <si>
    <t>Está juntando la plata</t>
  </si>
  <si>
    <t>17-mar</t>
  </si>
  <si>
    <t>Gustavo</t>
  </si>
  <si>
    <t>0973 853 315</t>
  </si>
  <si>
    <t>Hernandarias</t>
  </si>
  <si>
    <t>Hay que limar porque ya no responde</t>
  </si>
  <si>
    <t>18-mar</t>
  </si>
  <si>
    <t>Jose Agüero</t>
  </si>
  <si>
    <t>+34 631 787602</t>
  </si>
  <si>
    <t>Accesorios y repuestos</t>
  </si>
  <si>
    <t>Presupuestos WA</t>
  </si>
  <si>
    <t>0974 919 209</t>
  </si>
  <si>
    <t>Empastado y sistema de Regadío</t>
  </si>
  <si>
    <t>Es para diciembre</t>
  </si>
  <si>
    <t>Juan Carlos Nuñez</t>
  </si>
  <si>
    <t>0981 425 303</t>
  </si>
  <si>
    <t>Obras civiles y Empastado y jardinería</t>
  </si>
  <si>
    <t>Cerrado</t>
  </si>
  <si>
    <t>19-mar</t>
  </si>
  <si>
    <t>Sin Nombre</t>
  </si>
  <si>
    <t>0981 453 929</t>
  </si>
  <si>
    <t>Sin detalle</t>
  </si>
  <si>
    <t>Llamó</t>
  </si>
  <si>
    <t>Ya no precisa</t>
  </si>
  <si>
    <t>Adrian - Munich</t>
  </si>
  <si>
    <t>0991 978 620</t>
  </si>
  <si>
    <t>Lambaré</t>
  </si>
  <si>
    <t>En trabajo</t>
  </si>
  <si>
    <t>24-mar</t>
  </si>
  <si>
    <t>Supermercado PLUB</t>
  </si>
  <si>
    <t>0976 900 795</t>
  </si>
  <si>
    <t>Regadío por Goteo</t>
  </si>
  <si>
    <t>Terminado</t>
  </si>
  <si>
    <t>29-mar</t>
  </si>
  <si>
    <t>AP</t>
  </si>
  <si>
    <t>0985 833 299</t>
  </si>
  <si>
    <t>Diálogo, ya no responde</t>
  </si>
  <si>
    <t>No responde más</t>
  </si>
  <si>
    <t>09-abr</t>
  </si>
  <si>
    <t>Ale Benitez</t>
  </si>
  <si>
    <t>0983 633 281</t>
  </si>
  <si>
    <t>Pasto</t>
  </si>
  <si>
    <t>Luque</t>
  </si>
  <si>
    <t>14-abr</t>
  </si>
  <si>
    <t>Marle</t>
  </si>
  <si>
    <t>0972 644 608</t>
  </si>
  <si>
    <t>Configuración de Sistema de regadío</t>
  </si>
  <si>
    <t>No se concretó</t>
  </si>
  <si>
    <t>Jose no le llamó más</t>
  </si>
  <si>
    <t>19-abr</t>
  </si>
  <si>
    <t>Ilse</t>
  </si>
  <si>
    <t>0982 833 999</t>
  </si>
  <si>
    <t>Arreglar un cantero</t>
  </si>
  <si>
    <t>Sajonia</t>
  </si>
  <si>
    <t>Desea</t>
  </si>
  <si>
    <t>23-abr</t>
  </si>
  <si>
    <t>Larisa Sales</t>
  </si>
  <si>
    <t>0994 409 887</t>
  </si>
  <si>
    <t>Pasto y mantenimiento</t>
  </si>
  <si>
    <t>Presupuesto enviado</t>
  </si>
  <si>
    <t>Perdimos por precio</t>
  </si>
  <si>
    <t>25-abr</t>
  </si>
  <si>
    <t>Jorge Bobadilla</t>
  </si>
  <si>
    <t>0981 478 986</t>
  </si>
  <si>
    <t>Podaje, Mantenimiento</t>
  </si>
  <si>
    <t>26-abr</t>
  </si>
  <si>
    <t>Alma García</t>
  </si>
  <si>
    <t>0981 189 797</t>
  </si>
  <si>
    <t>Pasto y mini paisajismo</t>
  </si>
  <si>
    <t>Cliente Pasto Kabaju</t>
  </si>
  <si>
    <t>0972 566 045</t>
  </si>
  <si>
    <t>Pasto kavaju</t>
  </si>
  <si>
    <t>En diálogo</t>
  </si>
  <si>
    <t>Está de viaje, puede que quiera</t>
  </si>
  <si>
    <t>30-abr</t>
  </si>
  <si>
    <t>Jose</t>
  </si>
  <si>
    <t>0981 404 945</t>
  </si>
  <si>
    <t>Nada</t>
  </si>
  <si>
    <t>02-may</t>
  </si>
  <si>
    <t>Vio Rodriguez</t>
  </si>
  <si>
    <t>0985 820 368</t>
  </si>
  <si>
    <t>Sistema de Regadío</t>
  </si>
  <si>
    <t>06-may</t>
  </si>
  <si>
    <t>Pintura anticorrosiva</t>
  </si>
  <si>
    <t>Banco GNB</t>
  </si>
  <si>
    <t>0981 167 028</t>
  </si>
  <si>
    <t>Pasto esmeralda</t>
  </si>
  <si>
    <t>No quiso pagar relevamiento</t>
  </si>
  <si>
    <t>11-may</t>
  </si>
  <si>
    <t>Ismael Caballero (Isaac)</t>
  </si>
  <si>
    <t>0981 398 500</t>
  </si>
  <si>
    <t>Repuesto de sistema de regadío</t>
  </si>
  <si>
    <t>Concretado</t>
  </si>
  <si>
    <t>12-may</t>
  </si>
  <si>
    <t>Silvestre Benítez (plomero)</t>
  </si>
  <si>
    <t>0985 384 629</t>
  </si>
  <si>
    <t>Cacupe</t>
  </si>
  <si>
    <t>En espera, él va a recargar el precio</t>
  </si>
  <si>
    <t>RESUMEN DE PROSPECTOS</t>
  </si>
  <si>
    <t>Total de Prospectos:</t>
  </si>
  <si>
    <t>Cerrados:</t>
  </si>
  <si>
    <t>Pendientes:</t>
  </si>
  <si>
    <t>Perdidos:</t>
  </si>
  <si>
    <t>Tasa de Cierre:</t>
  </si>
  <si>
    <t>19.4%</t>
  </si>
  <si>
    <t>Tasa de Pérdida:</t>
  </si>
  <si>
    <t>48.4%</t>
  </si>
  <si>
    <t>Tasa Pendientes:</t>
  </si>
  <si>
    <t>25.8%</t>
  </si>
  <si>
    <t>Total Presupuestado:</t>
  </si>
  <si>
    <t>Total Cerrado:</t>
  </si>
  <si>
    <t>Período:</t>
  </si>
  <si>
    <t>Febrero - Mayo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</si>
</sst>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C6EFCE"/>
        <bgColor rgb="FFC6EFCE"/>
      </patternFill>
    </fill>
    <fill>
      <patternFill patternType="solid">
        <fgColor rgb="FFE7F0F7"/>
        <bgColor rgb="FFE7F0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6" borderId="1" xfId="0" applyFont="1" applyFill="1" applyBorder="1"/>
    <xf numFmtId="3" fontId="0" fillId="0" borderId="1" xfId="0" applyNumberForma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41" fontId="4" fillId="2" borderId="1" xfId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41" fontId="5" fillId="5" borderId="1" xfId="1" applyFont="1" applyFill="1" applyBorder="1" applyAlignment="1">
      <alignment horizontal="center" vertical="center"/>
    </xf>
    <xf numFmtId="41" fontId="5" fillId="0" borderId="0" xfId="1" applyFont="1"/>
    <xf numFmtId="41" fontId="6" fillId="0" borderId="0" xfId="1" applyFont="1" applyAlignment="1">
      <alignment vertic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700059-3A08-40AE-859E-54EF00C685B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4470e0b-a6bd-4849-96ca-50b13ba56db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Normal="100" workbookViewId="0">
      <selection activeCell="I37" sqref="I37"/>
    </sheetView>
  </sheetViews>
  <sheetFormatPr baseColWidth="10" defaultColWidth="18.44140625" defaultRowHeight="36.6" customHeight="1" x14ac:dyDescent="0.3"/>
  <cols>
    <col min="1" max="1" width="6.109375" style="6" customWidth="1"/>
    <col min="2" max="2" width="7.44140625" style="6" customWidth="1"/>
    <col min="3" max="3" width="17.21875" style="6" customWidth="1"/>
    <col min="4" max="4" width="14.21875" style="6" customWidth="1"/>
    <col min="5" max="5" width="20.44140625" style="13" customWidth="1"/>
    <col min="6" max="6" width="16.88671875" style="6" customWidth="1"/>
    <col min="7" max="7" width="18.44140625" style="6"/>
    <col min="8" max="8" width="9" style="6" customWidth="1"/>
    <col min="9" max="9" width="17.33203125" style="18" customWidth="1"/>
    <col min="10" max="10" width="14.109375" style="18" customWidth="1"/>
    <col min="11" max="11" width="36.44140625" style="6" customWidth="1"/>
    <col min="12" max="16384" width="18.44140625" style="6"/>
  </cols>
  <sheetData>
    <row r="1" spans="1:11" ht="36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4" t="s">
        <v>8</v>
      </c>
      <c r="J1" s="14" t="s">
        <v>9</v>
      </c>
      <c r="K1" s="5" t="s">
        <v>10</v>
      </c>
    </row>
    <row r="2" spans="1:11" ht="31.2" customHeight="1" x14ac:dyDescent="0.3">
      <c r="A2" s="7">
        <v>1</v>
      </c>
      <c r="B2" s="8" t="s">
        <v>11</v>
      </c>
      <c r="C2" s="8" t="s">
        <v>12</v>
      </c>
      <c r="D2" s="8"/>
      <c r="E2" s="8" t="s">
        <v>13</v>
      </c>
      <c r="F2" s="8"/>
      <c r="G2" s="8" t="s">
        <v>14</v>
      </c>
      <c r="H2" s="7" t="s">
        <v>15</v>
      </c>
      <c r="I2" s="15"/>
      <c r="J2" s="15"/>
      <c r="K2" s="8" t="s">
        <v>16</v>
      </c>
    </row>
    <row r="3" spans="1:11" ht="27.6" customHeight="1" x14ac:dyDescent="0.3">
      <c r="A3" s="9">
        <v>2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9" t="s">
        <v>23</v>
      </c>
      <c r="I3" s="16"/>
      <c r="J3" s="16"/>
      <c r="K3" s="10" t="s">
        <v>24</v>
      </c>
    </row>
    <row r="4" spans="1:11" ht="27.6" customHeight="1" x14ac:dyDescent="0.3">
      <c r="A4" s="9">
        <v>3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21</v>
      </c>
      <c r="G4" s="10" t="s">
        <v>29</v>
      </c>
      <c r="H4" s="9" t="s">
        <v>23</v>
      </c>
      <c r="I4" s="16"/>
      <c r="J4" s="16"/>
      <c r="K4" s="10" t="s">
        <v>30</v>
      </c>
    </row>
    <row r="5" spans="1:11" ht="28.8" customHeight="1" x14ac:dyDescent="0.3">
      <c r="A5" s="9">
        <v>4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9" t="s">
        <v>23</v>
      </c>
      <c r="I5" s="16"/>
      <c r="J5" s="16"/>
      <c r="K5" s="10" t="s">
        <v>37</v>
      </c>
    </row>
    <row r="6" spans="1:11" ht="25.8" customHeight="1" x14ac:dyDescent="0.3">
      <c r="A6" s="7">
        <v>5</v>
      </c>
      <c r="B6" s="8" t="s">
        <v>31</v>
      </c>
      <c r="C6" s="8" t="s">
        <v>38</v>
      </c>
      <c r="D6" s="8" t="s">
        <v>39</v>
      </c>
      <c r="E6" s="8" t="s">
        <v>40</v>
      </c>
      <c r="F6" s="8" t="s">
        <v>41</v>
      </c>
      <c r="G6" s="8" t="s">
        <v>42</v>
      </c>
      <c r="H6" s="7" t="s">
        <v>15</v>
      </c>
      <c r="I6" s="15"/>
      <c r="J6" s="15"/>
      <c r="K6" s="8" t="s">
        <v>43</v>
      </c>
    </row>
    <row r="7" spans="1:11" ht="27.6" customHeight="1" x14ac:dyDescent="0.3">
      <c r="A7" s="9">
        <v>6</v>
      </c>
      <c r="B7" s="10" t="s">
        <v>44</v>
      </c>
      <c r="C7" s="10" t="s">
        <v>45</v>
      </c>
      <c r="D7" s="10" t="s">
        <v>46</v>
      </c>
      <c r="E7" s="10" t="s">
        <v>47</v>
      </c>
      <c r="F7" s="10" t="s">
        <v>48</v>
      </c>
      <c r="G7" s="10" t="s">
        <v>36</v>
      </c>
      <c r="H7" s="9" t="s">
        <v>23</v>
      </c>
      <c r="I7" s="16"/>
      <c r="J7" s="16"/>
      <c r="K7" s="10" t="s">
        <v>49</v>
      </c>
    </row>
    <row r="8" spans="1:11" ht="25.2" customHeight="1" x14ac:dyDescent="0.3">
      <c r="A8" s="9">
        <v>7</v>
      </c>
      <c r="B8" s="10" t="s">
        <v>50</v>
      </c>
      <c r="C8" s="10" t="s">
        <v>51</v>
      </c>
      <c r="D8" s="10" t="s">
        <v>52</v>
      </c>
      <c r="E8" s="10" t="s">
        <v>53</v>
      </c>
      <c r="F8" s="10"/>
      <c r="G8" s="10" t="s">
        <v>54</v>
      </c>
      <c r="H8" s="9" t="s">
        <v>23</v>
      </c>
      <c r="I8" s="16"/>
      <c r="J8" s="16"/>
      <c r="K8" s="10" t="s">
        <v>55</v>
      </c>
    </row>
    <row r="9" spans="1:11" ht="22.2" customHeight="1" x14ac:dyDescent="0.3">
      <c r="A9" s="9">
        <v>8</v>
      </c>
      <c r="B9" s="10" t="s">
        <v>56</v>
      </c>
      <c r="C9" s="10" t="s">
        <v>57</v>
      </c>
      <c r="D9" s="10" t="s">
        <v>58</v>
      </c>
      <c r="E9" s="10" t="s">
        <v>34</v>
      </c>
      <c r="F9" s="10" t="s">
        <v>59</v>
      </c>
      <c r="G9" s="10" t="s">
        <v>60</v>
      </c>
      <c r="H9" s="9" t="s">
        <v>23</v>
      </c>
      <c r="I9" s="16"/>
      <c r="J9" s="16"/>
      <c r="K9" s="10" t="s">
        <v>55</v>
      </c>
    </row>
    <row r="10" spans="1:11" ht="22.2" customHeight="1" x14ac:dyDescent="0.3">
      <c r="A10" s="9">
        <v>9</v>
      </c>
      <c r="B10" s="10" t="s">
        <v>61</v>
      </c>
      <c r="C10" s="10" t="s">
        <v>62</v>
      </c>
      <c r="D10" s="10" t="s">
        <v>63</v>
      </c>
      <c r="E10" s="10" t="s">
        <v>64</v>
      </c>
      <c r="F10" s="10" t="s">
        <v>65</v>
      </c>
      <c r="G10" s="10" t="s">
        <v>66</v>
      </c>
      <c r="H10" s="9" t="s">
        <v>23</v>
      </c>
      <c r="I10" s="16"/>
      <c r="J10" s="16"/>
      <c r="K10" s="10" t="s">
        <v>67</v>
      </c>
    </row>
    <row r="11" spans="1:11" ht="24.6" customHeight="1" x14ac:dyDescent="0.3">
      <c r="A11" s="7">
        <v>10</v>
      </c>
      <c r="B11" s="8" t="s">
        <v>68</v>
      </c>
      <c r="C11" s="8" t="s">
        <v>69</v>
      </c>
      <c r="D11" s="8" t="s">
        <v>70</v>
      </c>
      <c r="E11" s="8" t="s">
        <v>71</v>
      </c>
      <c r="F11" s="8" t="s">
        <v>72</v>
      </c>
      <c r="G11" s="8" t="s">
        <v>66</v>
      </c>
      <c r="H11" s="7" t="s">
        <v>15</v>
      </c>
      <c r="I11" s="15">
        <v>9800000</v>
      </c>
      <c r="J11" s="15"/>
      <c r="K11" s="8" t="s">
        <v>73</v>
      </c>
    </row>
    <row r="12" spans="1:11" ht="19.8" customHeight="1" x14ac:dyDescent="0.3">
      <c r="A12" s="7">
        <v>11</v>
      </c>
      <c r="B12" s="8" t="s">
        <v>74</v>
      </c>
      <c r="C12" s="8" t="s">
        <v>75</v>
      </c>
      <c r="D12" s="8" t="s">
        <v>76</v>
      </c>
      <c r="E12" s="8" t="s">
        <v>71</v>
      </c>
      <c r="F12" s="8" t="s">
        <v>77</v>
      </c>
      <c r="G12" s="8" t="s">
        <v>66</v>
      </c>
      <c r="H12" s="7" t="s">
        <v>15</v>
      </c>
      <c r="I12" s="15">
        <v>2300000</v>
      </c>
      <c r="J12" s="15"/>
      <c r="K12" s="8" t="s">
        <v>78</v>
      </c>
    </row>
    <row r="13" spans="1:11" ht="27" customHeight="1" x14ac:dyDescent="0.3">
      <c r="A13" s="9">
        <v>12</v>
      </c>
      <c r="B13" s="10" t="s">
        <v>79</v>
      </c>
      <c r="C13" s="10" t="s">
        <v>80</v>
      </c>
      <c r="D13" s="10" t="s">
        <v>81</v>
      </c>
      <c r="E13" s="10" t="s">
        <v>82</v>
      </c>
      <c r="F13" s="10"/>
      <c r="G13" s="10"/>
      <c r="H13" s="9" t="s">
        <v>23</v>
      </c>
      <c r="I13" s="16"/>
      <c r="J13" s="16"/>
      <c r="K13" s="10"/>
    </row>
    <row r="14" spans="1:11" ht="25.2" customHeight="1" x14ac:dyDescent="0.3">
      <c r="A14" s="7">
        <v>13</v>
      </c>
      <c r="B14" s="8" t="s">
        <v>79</v>
      </c>
      <c r="C14" s="8" t="s">
        <v>83</v>
      </c>
      <c r="D14" s="8" t="s">
        <v>84</v>
      </c>
      <c r="E14" s="8" t="s">
        <v>85</v>
      </c>
      <c r="F14" s="8" t="s">
        <v>35</v>
      </c>
      <c r="G14" s="8" t="s">
        <v>66</v>
      </c>
      <c r="H14" s="7" t="s">
        <v>15</v>
      </c>
      <c r="I14" s="15">
        <v>70000000</v>
      </c>
      <c r="J14" s="15"/>
      <c r="K14" s="8" t="s">
        <v>86</v>
      </c>
    </row>
    <row r="15" spans="1:11" ht="25.8" customHeight="1" x14ac:dyDescent="0.3">
      <c r="A15" s="11">
        <v>14</v>
      </c>
      <c r="B15" s="12" t="s">
        <v>79</v>
      </c>
      <c r="C15" s="12" t="s">
        <v>87</v>
      </c>
      <c r="D15" s="12" t="s">
        <v>88</v>
      </c>
      <c r="E15" s="12" t="s">
        <v>89</v>
      </c>
      <c r="F15" s="12" t="s">
        <v>65</v>
      </c>
      <c r="G15" s="12"/>
      <c r="H15" s="11" t="s">
        <v>90</v>
      </c>
      <c r="I15" s="17">
        <v>6800000</v>
      </c>
      <c r="J15" s="17">
        <v>24407727</v>
      </c>
      <c r="K15" s="12"/>
    </row>
    <row r="16" spans="1:11" ht="27.6" customHeight="1" x14ac:dyDescent="0.3">
      <c r="A16" s="9">
        <v>15</v>
      </c>
      <c r="B16" s="10" t="s">
        <v>91</v>
      </c>
      <c r="C16" s="10" t="s">
        <v>92</v>
      </c>
      <c r="D16" s="10" t="s">
        <v>93</v>
      </c>
      <c r="E16" s="10" t="s">
        <v>94</v>
      </c>
      <c r="F16" s="10"/>
      <c r="G16" s="10" t="s">
        <v>95</v>
      </c>
      <c r="H16" s="9" t="s">
        <v>23</v>
      </c>
      <c r="I16" s="16"/>
      <c r="J16" s="16"/>
      <c r="K16" s="10" t="s">
        <v>96</v>
      </c>
    </row>
    <row r="17" spans="1:11" ht="28.8" customHeight="1" x14ac:dyDescent="0.3">
      <c r="A17" s="11">
        <v>16</v>
      </c>
      <c r="B17" s="12" t="s">
        <v>91</v>
      </c>
      <c r="C17" s="12" t="s">
        <v>97</v>
      </c>
      <c r="D17" s="12" t="s">
        <v>98</v>
      </c>
      <c r="E17" s="12" t="s">
        <v>85</v>
      </c>
      <c r="F17" s="12" t="s">
        <v>99</v>
      </c>
      <c r="G17" s="12" t="s">
        <v>100</v>
      </c>
      <c r="H17" s="11" t="s">
        <v>90</v>
      </c>
      <c r="I17" s="17">
        <v>133500000</v>
      </c>
      <c r="J17" s="17">
        <v>130000000</v>
      </c>
      <c r="K17" s="12"/>
    </row>
    <row r="18" spans="1:11" ht="30" customHeight="1" x14ac:dyDescent="0.3">
      <c r="A18" s="11">
        <v>17</v>
      </c>
      <c r="B18" s="12" t="s">
        <v>101</v>
      </c>
      <c r="C18" s="12" t="s">
        <v>102</v>
      </c>
      <c r="D18" s="12" t="s">
        <v>103</v>
      </c>
      <c r="E18" s="12" t="s">
        <v>104</v>
      </c>
      <c r="F18" s="12" t="s">
        <v>21</v>
      </c>
      <c r="G18" s="12" t="s">
        <v>105</v>
      </c>
      <c r="H18" s="11" t="s">
        <v>90</v>
      </c>
      <c r="I18" s="17">
        <v>3260000</v>
      </c>
      <c r="J18" s="17">
        <v>3260000</v>
      </c>
      <c r="K18" s="12"/>
    </row>
    <row r="19" spans="1:11" ht="31.8" customHeight="1" x14ac:dyDescent="0.3">
      <c r="A19" s="9">
        <v>18</v>
      </c>
      <c r="B19" s="10" t="s">
        <v>106</v>
      </c>
      <c r="C19" s="10" t="s">
        <v>107</v>
      </c>
      <c r="D19" s="10" t="s">
        <v>108</v>
      </c>
      <c r="E19" s="10" t="s">
        <v>104</v>
      </c>
      <c r="F19" s="10"/>
      <c r="G19" s="10" t="s">
        <v>109</v>
      </c>
      <c r="H19" s="9" t="s">
        <v>23</v>
      </c>
      <c r="I19" s="16"/>
      <c r="J19" s="16"/>
      <c r="K19" s="10" t="s">
        <v>110</v>
      </c>
    </row>
    <row r="20" spans="1:11" ht="21.6" customHeight="1" x14ac:dyDescent="0.3">
      <c r="A20" s="9">
        <v>19</v>
      </c>
      <c r="B20" s="10" t="s">
        <v>111</v>
      </c>
      <c r="C20" s="10" t="s">
        <v>112</v>
      </c>
      <c r="D20" s="10" t="s">
        <v>113</v>
      </c>
      <c r="E20" s="10" t="s">
        <v>114</v>
      </c>
      <c r="F20" s="10" t="s">
        <v>115</v>
      </c>
      <c r="G20" s="10" t="s">
        <v>54</v>
      </c>
      <c r="H20" s="9" t="s">
        <v>23</v>
      </c>
      <c r="I20" s="16"/>
      <c r="J20" s="16"/>
      <c r="K20" s="10"/>
    </row>
    <row r="21" spans="1:11" ht="27.6" customHeight="1" x14ac:dyDescent="0.3">
      <c r="A21" s="9">
        <v>20</v>
      </c>
      <c r="B21" s="10" t="s">
        <v>116</v>
      </c>
      <c r="C21" s="10" t="s">
        <v>117</v>
      </c>
      <c r="D21" s="10" t="s">
        <v>118</v>
      </c>
      <c r="E21" s="10" t="s">
        <v>119</v>
      </c>
      <c r="F21" s="10" t="s">
        <v>21</v>
      </c>
      <c r="G21" s="10" t="s">
        <v>120</v>
      </c>
      <c r="H21" s="9" t="s">
        <v>23</v>
      </c>
      <c r="I21" s="16"/>
      <c r="J21" s="16"/>
      <c r="K21" s="10" t="s">
        <v>121</v>
      </c>
    </row>
    <row r="22" spans="1:11" ht="21" customHeight="1" x14ac:dyDescent="0.3">
      <c r="A22" s="7">
        <v>21</v>
      </c>
      <c r="B22" s="8" t="s">
        <v>122</v>
      </c>
      <c r="C22" s="8" t="s">
        <v>123</v>
      </c>
      <c r="D22" s="8" t="s">
        <v>124</v>
      </c>
      <c r="E22" s="8" t="s">
        <v>125</v>
      </c>
      <c r="F22" s="8" t="s">
        <v>126</v>
      </c>
      <c r="G22" s="8" t="s">
        <v>127</v>
      </c>
      <c r="H22" s="7" t="s">
        <v>15</v>
      </c>
      <c r="I22" s="15">
        <v>330000</v>
      </c>
      <c r="J22" s="15"/>
      <c r="K22" s="8"/>
    </row>
    <row r="23" spans="1:11" ht="25.8" customHeight="1" x14ac:dyDescent="0.3">
      <c r="A23" s="9">
        <v>22</v>
      </c>
      <c r="B23" s="10" t="s">
        <v>128</v>
      </c>
      <c r="C23" s="10" t="s">
        <v>129</v>
      </c>
      <c r="D23" s="10" t="s">
        <v>130</v>
      </c>
      <c r="E23" s="10" t="s">
        <v>131</v>
      </c>
      <c r="F23" s="10" t="s">
        <v>41</v>
      </c>
      <c r="G23" s="10" t="s">
        <v>132</v>
      </c>
      <c r="H23" s="9" t="s">
        <v>23</v>
      </c>
      <c r="I23" s="16">
        <v>5423000</v>
      </c>
      <c r="J23" s="16"/>
      <c r="K23" s="10" t="s">
        <v>133</v>
      </c>
    </row>
    <row r="24" spans="1:11" ht="25.8" customHeight="1" x14ac:dyDescent="0.3">
      <c r="A24" s="11">
        <v>23</v>
      </c>
      <c r="B24" s="12" t="s">
        <v>134</v>
      </c>
      <c r="C24" s="12" t="s">
        <v>135</v>
      </c>
      <c r="D24" s="12" t="s">
        <v>136</v>
      </c>
      <c r="E24" s="12" t="s">
        <v>137</v>
      </c>
      <c r="F24" s="12" t="s">
        <v>21</v>
      </c>
      <c r="G24" s="12" t="s">
        <v>105</v>
      </c>
      <c r="H24" s="11" t="s">
        <v>90</v>
      </c>
      <c r="I24" s="17">
        <v>2556400</v>
      </c>
      <c r="J24" s="17">
        <v>970000</v>
      </c>
      <c r="K24" s="12"/>
    </row>
    <row r="25" spans="1:11" ht="24.6" customHeight="1" x14ac:dyDescent="0.3">
      <c r="A25" s="11">
        <v>24</v>
      </c>
      <c r="B25" s="12" t="s">
        <v>138</v>
      </c>
      <c r="C25" s="12" t="s">
        <v>139</v>
      </c>
      <c r="D25" s="12" t="s">
        <v>140</v>
      </c>
      <c r="E25" s="12" t="s">
        <v>141</v>
      </c>
      <c r="F25" s="12" t="s">
        <v>99</v>
      </c>
      <c r="G25" s="12" t="s">
        <v>105</v>
      </c>
      <c r="H25" s="11" t="s">
        <v>90</v>
      </c>
      <c r="I25" s="17">
        <v>1210000</v>
      </c>
      <c r="J25" s="17">
        <v>810000</v>
      </c>
      <c r="K25" s="12"/>
    </row>
    <row r="26" spans="1:11" ht="30" customHeight="1" x14ac:dyDescent="0.3">
      <c r="A26" s="7">
        <v>25</v>
      </c>
      <c r="B26" s="8" t="s">
        <v>134</v>
      </c>
      <c r="C26" s="8" t="s">
        <v>142</v>
      </c>
      <c r="D26" s="8" t="s">
        <v>143</v>
      </c>
      <c r="E26" s="8" t="s">
        <v>144</v>
      </c>
      <c r="F26" s="8" t="s">
        <v>21</v>
      </c>
      <c r="G26" s="8" t="s">
        <v>145</v>
      </c>
      <c r="H26" s="7" t="s">
        <v>15</v>
      </c>
      <c r="I26" s="15">
        <v>2500000</v>
      </c>
      <c r="J26" s="15"/>
      <c r="K26" s="8" t="s">
        <v>146</v>
      </c>
    </row>
    <row r="27" spans="1:11" ht="27.6" customHeight="1" x14ac:dyDescent="0.3">
      <c r="A27" s="9">
        <v>26</v>
      </c>
      <c r="B27" s="10" t="s">
        <v>147</v>
      </c>
      <c r="C27" s="10" t="s">
        <v>148</v>
      </c>
      <c r="D27" s="10" t="s">
        <v>149</v>
      </c>
      <c r="E27" s="10"/>
      <c r="F27" s="10"/>
      <c r="G27" s="10" t="s">
        <v>150</v>
      </c>
      <c r="H27" s="9" t="s">
        <v>23</v>
      </c>
      <c r="I27" s="16"/>
      <c r="J27" s="16"/>
      <c r="K27" s="10"/>
    </row>
    <row r="28" spans="1:11" ht="28.8" customHeight="1" x14ac:dyDescent="0.3">
      <c r="A28" s="9">
        <v>27</v>
      </c>
      <c r="B28" s="10" t="s">
        <v>151</v>
      </c>
      <c r="C28" s="10" t="s">
        <v>152</v>
      </c>
      <c r="D28" s="10" t="s">
        <v>153</v>
      </c>
      <c r="E28" s="10" t="s">
        <v>154</v>
      </c>
      <c r="F28" s="10" t="s">
        <v>99</v>
      </c>
      <c r="G28" s="10" t="s">
        <v>54</v>
      </c>
      <c r="H28" s="9" t="s">
        <v>23</v>
      </c>
      <c r="I28" s="16"/>
      <c r="J28" s="16"/>
      <c r="K28" s="10"/>
    </row>
    <row r="29" spans="1:11" ht="27.6" customHeight="1" x14ac:dyDescent="0.3">
      <c r="A29" s="11">
        <v>28</v>
      </c>
      <c r="B29" s="12" t="s">
        <v>155</v>
      </c>
      <c r="C29" s="12" t="s">
        <v>102</v>
      </c>
      <c r="D29" s="12" t="s">
        <v>103</v>
      </c>
      <c r="E29" s="12" t="s">
        <v>156</v>
      </c>
      <c r="F29" s="12" t="s">
        <v>21</v>
      </c>
      <c r="G29" s="12" t="s">
        <v>105</v>
      </c>
      <c r="H29" s="11" t="s">
        <v>90</v>
      </c>
      <c r="I29" s="17">
        <v>1800000</v>
      </c>
      <c r="J29" s="17">
        <v>1800000</v>
      </c>
      <c r="K29" s="12"/>
    </row>
    <row r="30" spans="1:11" ht="27.6" customHeight="1" x14ac:dyDescent="0.3">
      <c r="A30" s="9">
        <v>29</v>
      </c>
      <c r="B30" s="10" t="s">
        <v>155</v>
      </c>
      <c r="C30" s="10" t="s">
        <v>157</v>
      </c>
      <c r="D30" s="10" t="s">
        <v>158</v>
      </c>
      <c r="E30" s="10" t="s">
        <v>159</v>
      </c>
      <c r="F30" s="10" t="s">
        <v>21</v>
      </c>
      <c r="G30" s="10" t="s">
        <v>36</v>
      </c>
      <c r="H30" s="9" t="s">
        <v>23</v>
      </c>
      <c r="I30" s="16">
        <v>160000</v>
      </c>
      <c r="J30" s="16"/>
      <c r="K30" s="10" t="s">
        <v>160</v>
      </c>
    </row>
    <row r="31" spans="1:11" ht="33.6" customHeight="1" x14ac:dyDescent="0.3">
      <c r="A31" s="11">
        <v>30</v>
      </c>
      <c r="B31" s="12" t="s">
        <v>161</v>
      </c>
      <c r="C31" s="12" t="s">
        <v>162</v>
      </c>
      <c r="D31" s="12" t="s">
        <v>163</v>
      </c>
      <c r="E31" s="12" t="s">
        <v>164</v>
      </c>
      <c r="F31" s="12" t="s">
        <v>41</v>
      </c>
      <c r="G31" s="12" t="s">
        <v>165</v>
      </c>
      <c r="H31" s="11" t="s">
        <v>90</v>
      </c>
      <c r="I31" s="17">
        <v>1000000</v>
      </c>
      <c r="J31" s="17">
        <v>1000000</v>
      </c>
      <c r="K31" s="12"/>
    </row>
    <row r="32" spans="1:11" ht="30.6" customHeight="1" x14ac:dyDescent="0.3">
      <c r="A32" s="7">
        <v>31</v>
      </c>
      <c r="B32" s="8" t="s">
        <v>166</v>
      </c>
      <c r="C32" s="8" t="s">
        <v>167</v>
      </c>
      <c r="D32" s="8" t="s">
        <v>168</v>
      </c>
      <c r="E32" s="8" t="s">
        <v>154</v>
      </c>
      <c r="F32" s="8" t="s">
        <v>169</v>
      </c>
      <c r="G32" s="8" t="s">
        <v>66</v>
      </c>
      <c r="H32" s="7" t="s">
        <v>15</v>
      </c>
      <c r="I32" s="15">
        <v>16500000</v>
      </c>
      <c r="J32" s="15"/>
      <c r="K32" s="8" t="s">
        <v>170</v>
      </c>
    </row>
    <row r="33" spans="10:10" ht="25.2" customHeight="1" x14ac:dyDescent="0.3">
      <c r="J33" s="19">
        <f>SUM(J15:J32)</f>
        <v>162247727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D19" sqref="D19"/>
    </sheetView>
  </sheetViews>
  <sheetFormatPr baseColWidth="10" defaultColWidth="8.88671875" defaultRowHeight="14.4" x14ac:dyDescent="0.3"/>
  <cols>
    <col min="1" max="1" width="30" customWidth="1"/>
    <col min="2" max="2" width="20" customWidth="1"/>
  </cols>
  <sheetData>
    <row r="1" spans="1:2" ht="18" x14ac:dyDescent="0.35">
      <c r="A1" s="1" t="s">
        <v>171</v>
      </c>
      <c r="B1" s="1"/>
    </row>
    <row r="2" spans="1:2" x14ac:dyDescent="0.3">
      <c r="A2" s="2"/>
      <c r="B2" s="2"/>
    </row>
    <row r="3" spans="1:2" x14ac:dyDescent="0.3">
      <c r="A3" s="3" t="s">
        <v>172</v>
      </c>
      <c r="B3" s="2">
        <v>31</v>
      </c>
    </row>
    <row r="4" spans="1:2" x14ac:dyDescent="0.3">
      <c r="A4" s="3" t="s">
        <v>173</v>
      </c>
      <c r="B4" s="2">
        <v>6</v>
      </c>
    </row>
    <row r="5" spans="1:2" x14ac:dyDescent="0.3">
      <c r="A5" s="3" t="s">
        <v>174</v>
      </c>
      <c r="B5" s="2">
        <v>8</v>
      </c>
    </row>
    <row r="6" spans="1:2" x14ac:dyDescent="0.3">
      <c r="A6" s="3" t="s">
        <v>175</v>
      </c>
      <c r="B6" s="2">
        <v>15</v>
      </c>
    </row>
    <row r="7" spans="1:2" x14ac:dyDescent="0.3">
      <c r="A7" s="2"/>
      <c r="B7" s="2"/>
    </row>
    <row r="8" spans="1:2" x14ac:dyDescent="0.3">
      <c r="A8" s="3" t="s">
        <v>176</v>
      </c>
      <c r="B8" s="2" t="s">
        <v>177</v>
      </c>
    </row>
    <row r="9" spans="1:2" x14ac:dyDescent="0.3">
      <c r="A9" s="3" t="s">
        <v>178</v>
      </c>
      <c r="B9" s="2" t="s">
        <v>179</v>
      </c>
    </row>
    <row r="10" spans="1:2" x14ac:dyDescent="0.3">
      <c r="A10" s="3" t="s">
        <v>180</v>
      </c>
      <c r="B10" s="2" t="s">
        <v>181</v>
      </c>
    </row>
    <row r="11" spans="1:2" x14ac:dyDescent="0.3">
      <c r="A11" s="3"/>
      <c r="B11" s="2"/>
    </row>
    <row r="12" spans="1:2" x14ac:dyDescent="0.3">
      <c r="A12" s="3" t="s">
        <v>182</v>
      </c>
      <c r="B12" s="4">
        <v>372433400</v>
      </c>
    </row>
    <row r="13" spans="1:2" x14ac:dyDescent="0.3">
      <c r="A13" s="3" t="s">
        <v>183</v>
      </c>
      <c r="B13" s="4">
        <v>162247727</v>
      </c>
    </row>
    <row r="14" spans="1:2" x14ac:dyDescent="0.3">
      <c r="A14" s="3"/>
      <c r="B14" s="2"/>
    </row>
    <row r="15" spans="1:2" x14ac:dyDescent="0.3">
      <c r="A15" s="3" t="s">
        <v>184</v>
      </c>
      <c r="B15" s="2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Prospectos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Derlis Alexander Aguilera</cp:lastModifiedBy>
  <dcterms:created xsi:type="dcterms:W3CDTF">2026-06-24T13:42:29Z</dcterms:created>
  <dcterms:modified xsi:type="dcterms:W3CDTF">2026-06-24T14:46:43Z</dcterms:modified>
</cp:coreProperties>
</file>